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<sst xmlns="http://schemas.openxmlformats.org/spreadsheetml/2006/main" count="89" uniqueCount="40">
  <si>
    <t xml:space="preserve">Logistics </t>
  </si>
  <si>
    <t xml:space="preserve">Debox </t>
  </si>
  <si>
    <t>Blast Chiller</t>
  </si>
  <si>
    <t>Plating Holding</t>
  </si>
  <si>
    <t xml:space="preserve">Plating </t>
  </si>
  <si>
    <t xml:space="preserve">Sleeving </t>
  </si>
  <si>
    <t xml:space="preserve">Work Order </t>
  </si>
  <si>
    <t xml:space="preserve">Planned </t>
  </si>
  <si>
    <t>Staged</t>
  </si>
  <si>
    <t>Planned</t>
  </si>
  <si>
    <t>Actual</t>
  </si>
  <si>
    <t xml:space="preserve">Actual </t>
  </si>
  <si>
    <t>Rezept</t>
  </si>
  <si>
    <t>Chicken&amp;Rice</t>
  </si>
  <si>
    <t>DE</t>
  </si>
  <si>
    <t>Sub</t>
  </si>
  <si>
    <t>Chicken</t>
  </si>
  <si>
    <t>19-23</t>
  </si>
  <si>
    <t>NOR</t>
  </si>
  <si>
    <t xml:space="preserve">Rice </t>
  </si>
  <si>
    <t>19-24</t>
  </si>
  <si>
    <t xml:space="preserve">BNL </t>
  </si>
  <si>
    <t>Veggies</t>
  </si>
  <si>
    <t>19-25</t>
  </si>
  <si>
    <t>Spices</t>
  </si>
  <si>
    <t>19-26</t>
  </si>
  <si>
    <t xml:space="preserve">Sauce </t>
  </si>
  <si>
    <t>19-27</t>
  </si>
  <si>
    <t>FV4009A - Salmon with a mustard dill sauce [DE]</t>
  </si>
  <si>
    <t>Garlic Spinach Stamppot</t>
  </si>
  <si>
    <t>Green Beans CUT 1-1/2 - Fresh - Less Salt</t>
  </si>
  <si>
    <t>Honey-Garlic Roasted Carrot Coins</t>
  </si>
  <si>
    <t>Sauce - Creamy Dijon and Dill Sauce</t>
  </si>
  <si>
    <t>Salmon - garlic seasoning</t>
  </si>
  <si>
    <t>FV0972A - Salmon Piccata [DE]</t>
  </si>
  <si>
    <t>Garlic Herb Marinated Salmon</t>
  </si>
  <si>
    <t>Broccoli - S&amp;P Broccoli FLORETS - less salt</t>
  </si>
  <si>
    <t>FA-DE Capers, Preserved/Kapern, konserviert</t>
  </si>
  <si>
    <t>Parmesan Cauliflower Mash - Rice - HTD - Batch</t>
  </si>
  <si>
    <t>Sauce - Piccata Sauce - Lower Fat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</si>
</sst>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3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2" numFmtId="0" xfId="0" applyAlignment="1" applyBorder="1" applyFont="1">
      <alignment readingOrder="0"/>
    </xf>
    <xf borderId="8" fillId="0" fontId="3" numFmtId="0" xfId="0" applyBorder="1" applyFont="1"/>
    <xf borderId="6" fillId="0" fontId="2" numFmtId="0" xfId="0" applyAlignment="1" applyBorder="1" applyFont="1">
      <alignment readingOrder="0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Border="1" applyFont="1"/>
    <xf borderId="13" fillId="0" fontId="1" numFmtId="0" xfId="0" applyBorder="1" applyFont="1"/>
    <xf borderId="10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6" fillId="0" fontId="1" numFmtId="0" xfId="0" applyBorder="1" applyFont="1"/>
    <xf borderId="17" fillId="0" fontId="1" numFmtId="0" xfId="0" applyBorder="1" applyFont="1"/>
    <xf borderId="18" fillId="0" fontId="1" numFmtId="0" xfId="0" applyAlignment="1" applyBorder="1" applyFont="1">
      <alignment readingOrder="0"/>
    </xf>
    <xf borderId="19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2" fontId="1" numFmtId="0" xfId="0" applyAlignment="1" applyBorder="1" applyFill="1" applyFont="1">
      <alignment readingOrder="0"/>
    </xf>
    <xf borderId="20" fillId="2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20" fillId="0" fontId="1" numFmtId="0" xfId="0" applyBorder="1" applyFont="1"/>
    <xf borderId="21" fillId="0" fontId="1" numFmtId="0" xfId="0" applyBorder="1" applyFont="1"/>
    <xf borderId="22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  <xf borderId="24" fillId="0" fontId="1" numFmtId="0" xfId="0" applyBorder="1" applyFont="1"/>
    <xf borderId="23" fillId="0" fontId="1" numFmtId="0" xfId="0" applyBorder="1" applyFont="1"/>
    <xf borderId="12" fillId="0" fontId="1" numFmtId="0" xfId="0" applyBorder="1" applyFont="1"/>
    <xf borderId="25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3" fillId="3" fontId="1" numFmtId="0" xfId="0" applyAlignment="1" applyBorder="1" applyFill="1" applyFont="1">
      <alignment readingOrder="0"/>
    </xf>
    <xf borderId="26" fillId="0" fontId="1" numFmtId="0" xfId="0" applyBorder="1" applyFont="1"/>
    <xf borderId="27" fillId="4" fontId="1" numFmtId="0" xfId="0" applyAlignment="1" applyBorder="1" applyFill="1" applyFont="1">
      <alignment readingOrder="0"/>
    </xf>
    <xf borderId="16" fillId="5" fontId="1" numFmtId="0" xfId="0" applyBorder="1" applyFill="1" applyFont="1"/>
    <xf borderId="17" fillId="5" fontId="1" numFmtId="0" xfId="0" applyBorder="1" applyFont="1"/>
    <xf borderId="27" fillId="4" fontId="4" numFmtId="0" xfId="0" applyAlignment="1" applyBorder="1" applyFont="1">
      <alignment vertical="bottom"/>
    </xf>
    <xf borderId="27" fillId="4" fontId="4" numFmtId="164" xfId="0" applyAlignment="1" applyBorder="1" applyFont="1" applyNumberFormat="1">
      <alignment horizontal="center"/>
    </xf>
    <xf borderId="10" fillId="5" fontId="1" numFmtId="0" xfId="0" applyAlignment="1" applyBorder="1" applyFont="1">
      <alignment readingOrder="0"/>
    </xf>
    <xf borderId="9" fillId="5" fontId="1" numFmtId="0" xfId="0" applyAlignment="1" applyBorder="1" applyFont="1">
      <alignment readingOrder="0"/>
    </xf>
    <xf borderId="28" fillId="0" fontId="4" numFmtId="2" xfId="0" applyAlignment="1" applyBorder="1" applyFont="1" applyNumberFormat="1">
      <alignment horizontal="right" vertical="bottom"/>
    </xf>
    <xf borderId="28" fillId="0" fontId="4" numFmtId="165" xfId="0" applyAlignment="1" applyBorder="1" applyFont="1" applyNumberFormat="1">
      <alignment horizontal="right" vertical="bottom"/>
    </xf>
    <xf borderId="20" fillId="5" fontId="1" numFmtId="0" xfId="0" applyAlignment="1" applyBorder="1" applyFont="1">
      <alignment readingOrder="0"/>
    </xf>
    <xf borderId="10" fillId="5" fontId="1" numFmtId="0" xfId="0" applyBorder="1" applyFont="1"/>
    <xf borderId="20" fillId="5" fontId="1" numFmtId="0" xfId="0" applyBorder="1" applyFont="1"/>
    <xf borderId="0" fillId="4" fontId="4" numFmtId="0" xfId="0" applyAlignment="1" applyFont="1">
      <alignment vertical="bottom"/>
    </xf>
    <xf borderId="0" fillId="4" fontId="4" numFmtId="164" xfId="0" applyAlignment="1" applyFont="1" applyNumberFormat="1">
      <alignment horizontal="center"/>
    </xf>
    <xf borderId="21" fillId="5" fontId="1" numFmtId="0" xfId="0" applyAlignment="1" applyBorder="1" applyFont="1">
      <alignment readingOrder="0"/>
    </xf>
    <xf borderId="23" fillId="5" fontId="1" numFmtId="0" xfId="0" applyAlignment="1" applyBorder="1" applyFont="1">
      <alignment readingOrder="0"/>
    </xf>
    <xf borderId="21" fillId="5" fontId="1" numFmtId="0" xfId="0" applyBorder="1" applyFont="1"/>
    <xf borderId="24" fillId="5" fontId="1" numFmtId="0" xfId="0" applyBorder="1" applyFont="1"/>
    <xf borderId="29" fillId="4" fontId="4" numFmtId="0" xfId="0" applyAlignment="1" applyBorder="1" applyFont="1">
      <alignment vertical="bottom"/>
    </xf>
    <xf borderId="29" fillId="4" fontId="4" numFmtId="164" xfId="0" applyAlignment="1" applyBorder="1" applyFont="1" applyNumberFormat="1">
      <alignment horizontal="center"/>
    </xf>
    <xf borderId="12" fillId="5" fontId="1" numFmtId="0" xfId="0" applyAlignment="1" applyBorder="1" applyFont="1">
      <alignment readingOrder="0"/>
    </xf>
    <xf borderId="14" fillId="5" fontId="1" numFmtId="0" xfId="0" applyAlignment="1" applyBorder="1" applyFont="1">
      <alignment readingOrder="0"/>
    </xf>
    <xf borderId="13" fillId="5" fontId="1" numFmtId="0" xfId="0" applyAlignment="1" applyBorder="1" applyFont="1">
      <alignment readingOrder="0"/>
    </xf>
    <xf borderId="13" fillId="5" fontId="1" numFmtId="0" xfId="0" applyBorder="1" applyFont="1"/>
    <xf borderId="12" fillId="5" fontId="1" numFmtId="0" xfId="0" applyBorder="1" applyFont="1"/>
    <xf borderId="0" fillId="6" fontId="1" numFmtId="0" xfId="0" applyAlignment="1" applyFill="1" applyFont="1">
      <alignment readingOrder="0"/>
    </xf>
    <xf borderId="0" fillId="6" fontId="4" numFmtId="0" xfId="0" applyAlignment="1" applyFont="1">
      <alignment vertical="bottom"/>
    </xf>
    <xf borderId="0" fillId="6" fontId="4" numFmtId="164" xfId="0" applyAlignment="1" applyFont="1" applyNumberFormat="1">
      <alignment horizontal="center"/>
    </xf>
    <xf borderId="24" fillId="5" fontId="1" numFmtId="0" xfId="0" applyAlignment="1" applyBorder="1" applyFont="1">
      <alignment readingOrder="0"/>
    </xf>
    <xf borderId="29" fillId="6" fontId="4" numFmtId="0" xfId="0" applyAlignment="1" applyBorder="1" applyFont="1">
      <alignment vertical="bottom"/>
    </xf>
    <xf borderId="29" fillId="6" fontId="4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"/>
      <c r="B3" s="4"/>
      <c r="C3" s="5"/>
      <c r="D3" s="6"/>
      <c r="E3" s="7" t="s">
        <v>0</v>
      </c>
      <c r="F3" s="8"/>
      <c r="G3" s="7" t="s">
        <v>1</v>
      </c>
      <c r="H3" s="8"/>
      <c r="I3" s="7" t="s">
        <v>2</v>
      </c>
      <c r="J3" s="8"/>
      <c r="K3" s="7" t="s">
        <v>3</v>
      </c>
      <c r="L3" s="8"/>
      <c r="M3" s="7" t="s">
        <v>4</v>
      </c>
      <c r="N3" s="8"/>
      <c r="O3" s="9" t="s">
        <v>5</v>
      </c>
      <c r="P3" s="8"/>
      <c r="Q3" s="10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/>
      <c r="B4" s="11"/>
      <c r="C4" s="3"/>
      <c r="D4" s="12" t="s">
        <v>6</v>
      </c>
      <c r="E4" s="13" t="s">
        <v>7</v>
      </c>
      <c r="F4" s="14" t="s">
        <v>8</v>
      </c>
      <c r="G4" s="13" t="s">
        <v>9</v>
      </c>
      <c r="H4" s="14" t="s">
        <v>10</v>
      </c>
      <c r="I4" s="13" t="s">
        <v>9</v>
      </c>
      <c r="J4" s="14" t="s">
        <v>11</v>
      </c>
      <c r="K4" s="13" t="s">
        <v>9</v>
      </c>
      <c r="L4" s="14" t="s">
        <v>11</v>
      </c>
      <c r="M4" s="13" t="s">
        <v>7</v>
      </c>
      <c r="N4" s="14" t="s">
        <v>10</v>
      </c>
      <c r="O4" s="15"/>
      <c r="P4" s="16"/>
      <c r="Q4" s="10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"/>
      <c r="B5" s="17" t="s">
        <v>12</v>
      </c>
      <c r="C5" s="18" t="s">
        <v>13</v>
      </c>
      <c r="D5" s="19"/>
      <c r="E5" s="20"/>
      <c r="F5" s="21"/>
      <c r="G5" s="20"/>
      <c r="H5" s="21"/>
      <c r="I5" s="20"/>
      <c r="J5" s="21"/>
      <c r="K5" s="20"/>
      <c r="L5" s="21"/>
      <c r="M5" s="20"/>
      <c r="N5" s="21"/>
      <c r="O5" s="22" t="s">
        <v>14</v>
      </c>
      <c r="P5" s="21"/>
      <c r="Q5" s="10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"/>
      <c r="B6" s="17" t="s">
        <v>15</v>
      </c>
      <c r="C6" s="18" t="s">
        <v>16</v>
      </c>
      <c r="D6" s="23" t="s">
        <v>17</v>
      </c>
      <c r="E6" s="17">
        <v>422.0</v>
      </c>
      <c r="F6" s="24">
        <v>422.0</v>
      </c>
      <c r="G6" s="25">
        <v>410.0</v>
      </c>
      <c r="H6" s="26">
        <v>412.0</v>
      </c>
      <c r="I6" s="17">
        <v>380.0</v>
      </c>
      <c r="J6" s="27">
        <v>382.0</v>
      </c>
      <c r="K6" s="11"/>
      <c r="L6" s="28"/>
      <c r="M6" s="11"/>
      <c r="N6" s="28"/>
      <c r="O6" s="24" t="s">
        <v>18</v>
      </c>
      <c r="P6" s="28"/>
      <c r="Q6" s="10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"/>
      <c r="B7" s="11"/>
      <c r="C7" s="18" t="s">
        <v>19</v>
      </c>
      <c r="D7" s="23" t="s">
        <v>20</v>
      </c>
      <c r="E7" s="17">
        <v>50.0</v>
      </c>
      <c r="F7" s="24">
        <v>50.0</v>
      </c>
      <c r="G7" s="25">
        <v>50.0</v>
      </c>
      <c r="H7" s="26">
        <v>60.0</v>
      </c>
      <c r="I7" s="17">
        <v>48.0</v>
      </c>
      <c r="J7" s="27">
        <v>52.0</v>
      </c>
      <c r="K7" s="11"/>
      <c r="L7" s="28"/>
      <c r="M7" s="11"/>
      <c r="N7" s="28"/>
      <c r="O7" s="24" t="s">
        <v>21</v>
      </c>
      <c r="P7" s="28"/>
      <c r="Q7" s="10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"/>
      <c r="B8" s="11"/>
      <c r="C8" s="18" t="s">
        <v>22</v>
      </c>
      <c r="D8" s="23" t="s">
        <v>23</v>
      </c>
      <c r="E8" s="17">
        <v>200.0</v>
      </c>
      <c r="F8" s="24">
        <v>200.0</v>
      </c>
      <c r="G8" s="25">
        <v>210.0</v>
      </c>
      <c r="H8" s="26">
        <v>230.0</v>
      </c>
      <c r="I8" s="17">
        <v>180.0</v>
      </c>
      <c r="J8" s="27">
        <v>160.0</v>
      </c>
      <c r="K8" s="11"/>
      <c r="L8" s="28"/>
      <c r="M8" s="11"/>
      <c r="N8" s="28"/>
      <c r="O8" s="10"/>
      <c r="P8" s="28"/>
      <c r="Q8" s="10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"/>
      <c r="B9" s="29"/>
      <c r="C9" s="30" t="s">
        <v>24</v>
      </c>
      <c r="D9" s="23" t="s">
        <v>25</v>
      </c>
      <c r="E9" s="31"/>
      <c r="F9" s="32"/>
      <c r="G9" s="29"/>
      <c r="H9" s="33"/>
      <c r="I9" s="29"/>
      <c r="J9" s="33"/>
      <c r="K9" s="29"/>
      <c r="L9" s="33"/>
      <c r="M9" s="29"/>
      <c r="N9" s="33"/>
      <c r="O9" s="34"/>
      <c r="P9" s="33"/>
      <c r="Q9" s="10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"/>
      <c r="B10" s="35"/>
      <c r="C10" s="36" t="s">
        <v>26</v>
      </c>
      <c r="D10" s="23" t="s">
        <v>27</v>
      </c>
      <c r="E10" s="13">
        <v>400.0</v>
      </c>
      <c r="F10" s="37">
        <v>400.0</v>
      </c>
      <c r="G10" s="38">
        <v>400.0</v>
      </c>
      <c r="H10" s="39">
        <v>380.0</v>
      </c>
      <c r="I10" s="13">
        <v>380.0</v>
      </c>
      <c r="J10" s="16"/>
      <c r="K10" s="35"/>
      <c r="L10" s="16"/>
      <c r="M10" s="35"/>
      <c r="N10" s="16"/>
      <c r="O10" s="15"/>
      <c r="P10" s="16"/>
      <c r="Q10" s="10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4"/>
      <c r="C14" s="5"/>
      <c r="D14" s="6"/>
      <c r="E14" s="7" t="s">
        <v>0</v>
      </c>
      <c r="F14" s="8"/>
      <c r="G14" s="7" t="s">
        <v>1</v>
      </c>
      <c r="H14" s="8"/>
      <c r="I14" s="7" t="s">
        <v>2</v>
      </c>
      <c r="J14" s="8"/>
      <c r="K14" s="7" t="s">
        <v>3</v>
      </c>
      <c r="L14" s="8"/>
      <c r="M14" s="7" t="s">
        <v>4</v>
      </c>
      <c r="N14" s="8"/>
      <c r="O14" s="9" t="s">
        <v>5</v>
      </c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1"/>
      <c r="C15" s="3"/>
      <c r="D15" s="12" t="s">
        <v>6</v>
      </c>
      <c r="E15" s="13" t="s">
        <v>7</v>
      </c>
      <c r="F15" s="14" t="s">
        <v>8</v>
      </c>
      <c r="G15" s="13" t="s">
        <v>9</v>
      </c>
      <c r="H15" s="14" t="s">
        <v>10</v>
      </c>
      <c r="I15" s="13" t="s">
        <v>9</v>
      </c>
      <c r="J15" s="14" t="s">
        <v>11</v>
      </c>
      <c r="K15" s="13" t="s">
        <v>9</v>
      </c>
      <c r="L15" s="14" t="s">
        <v>11</v>
      </c>
      <c r="M15" s="13" t="s">
        <v>7</v>
      </c>
      <c r="N15" s="14" t="s">
        <v>10</v>
      </c>
      <c r="O15" s="15"/>
      <c r="P15" s="16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7" t="s">
        <v>12</v>
      </c>
      <c r="C16" s="41" t="s">
        <v>28</v>
      </c>
      <c r="D16" s="19"/>
      <c r="E16" s="42"/>
      <c r="F16" s="43"/>
      <c r="G16" s="42"/>
      <c r="H16" s="43"/>
      <c r="I16" s="42"/>
      <c r="J16" s="43"/>
      <c r="K16" s="42"/>
      <c r="L16" s="43"/>
      <c r="M16" s="42"/>
      <c r="N16" s="43"/>
      <c r="O16" s="22" t="s">
        <v>14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7" t="s">
        <v>15</v>
      </c>
      <c r="C17" s="44" t="s">
        <v>29</v>
      </c>
      <c r="D17" s="45">
        <v>46192.0</v>
      </c>
      <c r="E17" s="46"/>
      <c r="F17" s="47"/>
      <c r="G17" s="48"/>
      <c r="H17" s="49"/>
      <c r="I17" s="46"/>
      <c r="J17" s="50"/>
      <c r="K17" s="51"/>
      <c r="L17" s="52"/>
      <c r="M17" s="51"/>
      <c r="N17" s="52"/>
      <c r="O17" s="24" t="s">
        <v>18</v>
      </c>
      <c r="P17" s="28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1"/>
      <c r="C18" s="53" t="s">
        <v>30</v>
      </c>
      <c r="D18" s="54">
        <v>46222.0</v>
      </c>
      <c r="E18" s="46"/>
      <c r="F18" s="47"/>
      <c r="G18" s="48">
        <f>(458417.74+23395.11+1896.9+632.3+1896.9)/1000</f>
        <v>486.23895</v>
      </c>
      <c r="H18" s="49">
        <v>496.72</v>
      </c>
      <c r="I18" s="46"/>
      <c r="J18" s="50"/>
      <c r="K18" s="51"/>
      <c r="L18" s="52"/>
      <c r="M18" s="51"/>
      <c r="N18" s="52"/>
      <c r="O18" s="24" t="s">
        <v>21</v>
      </c>
      <c r="P18" s="2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1"/>
      <c r="C19" s="53" t="s">
        <v>31</v>
      </c>
      <c r="D19" s="54">
        <v>46253.0</v>
      </c>
      <c r="E19" s="46"/>
      <c r="F19" s="47"/>
      <c r="G19" s="48">
        <f>(1333.19+469.43+25283.65+530.46+267.58+404970.31+12641.83+19030.81)/1000</f>
        <v>464.52726</v>
      </c>
      <c r="H19" s="49">
        <v>467.2</v>
      </c>
      <c r="I19" s="46"/>
      <c r="J19" s="50"/>
      <c r="K19" s="51"/>
      <c r="L19" s="52"/>
      <c r="M19" s="51"/>
      <c r="N19" s="52"/>
      <c r="O19" s="10"/>
      <c r="P19" s="2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9"/>
      <c r="C20" s="53" t="s">
        <v>32</v>
      </c>
      <c r="D20" s="54">
        <v>46314.0</v>
      </c>
      <c r="E20" s="55"/>
      <c r="F20" s="56"/>
      <c r="G20" s="57"/>
      <c r="H20" s="58"/>
      <c r="I20" s="57"/>
      <c r="J20" s="58"/>
      <c r="K20" s="57"/>
      <c r="L20" s="58"/>
      <c r="M20" s="57"/>
      <c r="N20" s="58"/>
      <c r="O20" s="34"/>
      <c r="P20" s="3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35"/>
      <c r="C21" s="59" t="s">
        <v>33</v>
      </c>
      <c r="D21" s="60">
        <v>46284.0</v>
      </c>
      <c r="E21" s="61"/>
      <c r="F21" s="62"/>
      <c r="G21" s="61"/>
      <c r="H21" s="63"/>
      <c r="I21" s="61"/>
      <c r="J21" s="64"/>
      <c r="K21" s="65"/>
      <c r="L21" s="64"/>
      <c r="M21" s="65"/>
      <c r="N21" s="64"/>
      <c r="O21" s="15"/>
      <c r="P21" s="1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0"/>
      <c r="C22" s="40"/>
      <c r="D22" s="4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4"/>
      <c r="C25" s="5"/>
      <c r="D25" s="6"/>
      <c r="E25" s="7" t="s">
        <v>0</v>
      </c>
      <c r="F25" s="8"/>
      <c r="G25" s="7" t="s">
        <v>1</v>
      </c>
      <c r="H25" s="8"/>
      <c r="I25" s="7" t="s">
        <v>2</v>
      </c>
      <c r="J25" s="8"/>
      <c r="K25" s="7" t="s">
        <v>3</v>
      </c>
      <c r="L25" s="8"/>
      <c r="M25" s="7" t="s">
        <v>4</v>
      </c>
      <c r="N25" s="8"/>
      <c r="O25" s="9" t="s">
        <v>5</v>
      </c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1"/>
      <c r="C26" s="3"/>
      <c r="D26" s="12" t="s">
        <v>6</v>
      </c>
      <c r="E26" s="13" t="s">
        <v>7</v>
      </c>
      <c r="F26" s="14" t="s">
        <v>8</v>
      </c>
      <c r="G26" s="13" t="s">
        <v>9</v>
      </c>
      <c r="H26" s="14" t="s">
        <v>10</v>
      </c>
      <c r="I26" s="13" t="s">
        <v>9</v>
      </c>
      <c r="J26" s="14" t="s">
        <v>11</v>
      </c>
      <c r="K26" s="13" t="s">
        <v>9</v>
      </c>
      <c r="L26" s="14" t="s">
        <v>11</v>
      </c>
      <c r="M26" s="13" t="s">
        <v>7</v>
      </c>
      <c r="N26" s="14" t="s">
        <v>10</v>
      </c>
      <c r="O26" s="15"/>
      <c r="P26" s="16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7" t="s">
        <v>12</v>
      </c>
      <c r="C27" s="66" t="s">
        <v>34</v>
      </c>
      <c r="D27" s="19"/>
      <c r="E27" s="20"/>
      <c r="F27" s="21"/>
      <c r="G27" s="20"/>
      <c r="H27" s="21"/>
      <c r="I27" s="20"/>
      <c r="J27" s="21">
        <f>61+62+37</f>
        <v>160</v>
      </c>
      <c r="K27" s="20"/>
      <c r="L27" s="21"/>
      <c r="M27" s="20"/>
      <c r="N27" s="21"/>
      <c r="O27" s="22" t="s">
        <v>14</v>
      </c>
      <c r="P27" s="2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7" t="s">
        <v>15</v>
      </c>
      <c r="C28" s="67" t="s">
        <v>35</v>
      </c>
      <c r="D28" s="68">
        <v>46100.0</v>
      </c>
      <c r="E28" s="46"/>
      <c r="F28" s="47"/>
      <c r="G28" s="46"/>
      <c r="H28" s="50"/>
      <c r="I28" s="46"/>
      <c r="J28" s="50">
        <v>33.0</v>
      </c>
      <c r="K28" s="11"/>
      <c r="L28" s="28"/>
      <c r="M28" s="11"/>
      <c r="N28" s="28"/>
      <c r="O28" s="24" t="s">
        <v>18</v>
      </c>
      <c r="P28" s="28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1"/>
      <c r="C29" s="67" t="s">
        <v>36</v>
      </c>
      <c r="D29" s="68">
        <v>46041.0</v>
      </c>
      <c r="E29" s="46"/>
      <c r="F29" s="47"/>
      <c r="G29" s="46"/>
      <c r="H29" s="50"/>
      <c r="I29" s="46"/>
      <c r="J29" s="50"/>
      <c r="K29" s="11"/>
      <c r="L29" s="28"/>
      <c r="M29" s="11"/>
      <c r="N29" s="28"/>
      <c r="O29" s="24" t="s">
        <v>21</v>
      </c>
      <c r="P29" s="28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1"/>
      <c r="C30" s="67" t="s">
        <v>37</v>
      </c>
      <c r="D30" s="68">
        <v>46072.0</v>
      </c>
      <c r="E30" s="46"/>
      <c r="F30" s="47"/>
      <c r="G30" s="46"/>
      <c r="H30" s="50"/>
      <c r="I30" s="46"/>
      <c r="J30" s="50">
        <v>28.0</v>
      </c>
      <c r="K30" s="11"/>
      <c r="L30" s="28"/>
      <c r="M30" s="11"/>
      <c r="N30" s="28"/>
      <c r="O30" s="10"/>
      <c r="P30" s="28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29"/>
      <c r="C31" s="67" t="s">
        <v>38</v>
      </c>
      <c r="D31" s="68">
        <v>46131.0</v>
      </c>
      <c r="E31" s="55"/>
      <c r="F31" s="56"/>
      <c r="G31" s="57"/>
      <c r="H31" s="58"/>
      <c r="I31" s="57"/>
      <c r="J31" s="69">
        <v>166.0</v>
      </c>
      <c r="K31" s="29"/>
      <c r="L31" s="33"/>
      <c r="M31" s="29"/>
      <c r="N31" s="33"/>
      <c r="O31" s="34"/>
      <c r="P31" s="3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35"/>
      <c r="C32" s="70" t="s">
        <v>39</v>
      </c>
      <c r="D32" s="71">
        <v>46161.0</v>
      </c>
      <c r="E32" s="61"/>
      <c r="F32" s="62"/>
      <c r="G32" s="61"/>
      <c r="H32" s="63"/>
      <c r="I32" s="61"/>
      <c r="J32" s="64"/>
      <c r="K32" s="35"/>
      <c r="L32" s="16"/>
      <c r="M32" s="35"/>
      <c r="N32" s="16"/>
      <c r="O32" s="15"/>
      <c r="P32" s="16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40"/>
      <c r="D33" s="40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8">
    <mergeCell ref="G14:H14"/>
    <mergeCell ref="I14:J14"/>
    <mergeCell ref="E25:F25"/>
    <mergeCell ref="G25:H25"/>
    <mergeCell ref="I25:J25"/>
    <mergeCell ref="K25:L25"/>
    <mergeCell ref="M25:N25"/>
    <mergeCell ref="O25:P25"/>
    <mergeCell ref="K14:L14"/>
    <mergeCell ref="M14:N14"/>
    <mergeCell ref="E3:F3"/>
    <mergeCell ref="G3:H3"/>
    <mergeCell ref="I3:J3"/>
    <mergeCell ref="K3:L3"/>
    <mergeCell ref="M3:N3"/>
    <mergeCell ref="O3:P3"/>
    <mergeCell ref="E14:F14"/>
    <mergeCell ref="O14:P14"/>
  </mergeCells>
  <drawing r:id="rId1"/>
</worksheet>
</file>