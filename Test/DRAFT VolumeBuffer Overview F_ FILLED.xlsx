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zeptlogik-app\Test\"/>
    </mc:Choice>
  </mc:AlternateContent>
  <xr:revisionPtr revIDLastSave="0" documentId="13_ncr:1_{027E1D28-FC5F-4071-ACAB-7A67C0F25A4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G19" i="1"/>
  <c r="G18" i="1"/>
</calcChain>
</file>

<file path=xl/sharedStrings.xml><?xml version="1.0" encoding="utf-8"?>
<sst xmlns="http://schemas.openxmlformats.org/spreadsheetml/2006/main" count="80" uniqueCount="37">
  <si>
    <t xml:space="preserve">Logistics </t>
  </si>
  <si>
    <t xml:space="preserve">Debox </t>
  </si>
  <si>
    <t>Blast Chiller</t>
  </si>
  <si>
    <t>Plating Holding</t>
  </si>
  <si>
    <t xml:space="preserve">Plating </t>
  </si>
  <si>
    <t xml:space="preserve">Sleeving </t>
  </si>
  <si>
    <t xml:space="preserve">Work Order </t>
  </si>
  <si>
    <t xml:space="preserve">Planned </t>
  </si>
  <si>
    <t>Staged</t>
  </si>
  <si>
    <t>Planned</t>
  </si>
  <si>
    <t>Actual</t>
  </si>
  <si>
    <t xml:space="preserve">Actual </t>
  </si>
  <si>
    <t>Rezept</t>
  </si>
  <si>
    <t>Chicken&amp;Rice</t>
  </si>
  <si>
    <t>Sub</t>
  </si>
  <si>
    <t>Chicken</t>
  </si>
  <si>
    <t>19-23</t>
  </si>
  <si>
    <t xml:space="preserve">Rice </t>
  </si>
  <si>
    <t>19-24</t>
  </si>
  <si>
    <t>Veggies</t>
  </si>
  <si>
    <t>19-25</t>
  </si>
  <si>
    <t>Spices</t>
  </si>
  <si>
    <t>19-26</t>
  </si>
  <si>
    <t xml:space="preserve">Sauce </t>
  </si>
  <si>
    <t>19-27</t>
  </si>
  <si>
    <t>FV4009A - Salmon with a mustard dill sauce [DE]</t>
  </si>
  <si>
    <t>Garlic Spinach Stamppot</t>
  </si>
  <si>
    <t>Green Beans CUT 1-1/2 - Fresh - Less Salt</t>
  </si>
  <si>
    <t>Honey-Garlic Roasted Carrot Coins</t>
  </si>
  <si>
    <t>Sauce - Creamy Dijon and Dill Sauce</t>
  </si>
  <si>
    <t>Salmon - garlic seasoning</t>
  </si>
  <si>
    <t>FV0972A - Salmon Piccata [DE]</t>
  </si>
  <si>
    <t>Garlic Herb Marinated Salmon</t>
  </si>
  <si>
    <t>Broccoli - S&amp;P Broccoli FLORETS - less salt</t>
  </si>
  <si>
    <t>FA-DE Capers, Preserved/Kapern, konserviert</t>
  </si>
  <si>
    <t>Parmesan Cauliflower Mash - Rice - HTD - Batch</t>
  </si>
  <si>
    <t>Sauce - Piccata Sauce - Lower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</si>
</sst>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3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2" borderId="9" xfId="0" applyFont="1" applyFill="1" applyBorder="1"/>
    <xf numFmtId="0" fontId="1" fillId="2" borderId="19" xfId="0" applyFont="1" applyFill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2" borderId="11" xfId="0" applyFont="1" applyFill="1" applyBorder="1"/>
    <xf numFmtId="0" fontId="1" fillId="3" borderId="12" xfId="0" applyFont="1" applyFill="1" applyBorder="1"/>
    <xf numFmtId="0" fontId="1" fillId="0" borderId="25" xfId="0" applyFont="1" applyBorder="1"/>
    <xf numFmtId="0" fontId="1" fillId="4" borderId="26" xfId="0" applyFont="1" applyFill="1" applyBorder="1"/>
    <xf numFmtId="0" fontId="1" fillId="5" borderId="15" xfId="0" applyFont="1" applyFill="1" applyBorder="1"/>
    <xf numFmtId="0" fontId="1" fillId="5" borderId="16" xfId="0" applyFont="1" applyFill="1" applyBorder="1"/>
    <xf numFmtId="0" fontId="3" fillId="4" borderId="26" xfId="0" applyFont="1" applyFill="1" applyBorder="1"/>
    <xf numFmtId="164" fontId="3" fillId="4" borderId="26" xfId="0" applyNumberFormat="1" applyFont="1" applyFill="1" applyBorder="1" applyAlignment="1">
      <alignment horizontal="center"/>
    </xf>
    <xf numFmtId="0" fontId="1" fillId="5" borderId="9" xfId="0" applyFont="1" applyFill="1" applyBorder="1"/>
    <xf numFmtId="0" fontId="1" fillId="5" borderId="8" xfId="0" applyFont="1" applyFill="1" applyBorder="1"/>
    <xf numFmtId="2" fontId="3" fillId="0" borderId="27" xfId="0" applyNumberFormat="1" applyFont="1" applyBorder="1" applyAlignment="1">
      <alignment horizontal="right"/>
    </xf>
    <xf numFmtId="165" fontId="3" fillId="0" borderId="27" xfId="0" applyNumberFormat="1" applyFont="1" applyBorder="1" applyAlignment="1">
      <alignment horizontal="right"/>
    </xf>
    <xf numFmtId="0" fontId="1" fillId="5" borderId="19" xfId="0" applyFont="1" applyFill="1" applyBorder="1"/>
    <xf numFmtId="0" fontId="3" fillId="4" borderId="0" xfId="0" applyFont="1" applyFill="1"/>
    <xf numFmtId="164" fontId="3" fillId="4" borderId="0" xfId="0" applyNumberFormat="1" applyFont="1" applyFill="1" applyAlignment="1">
      <alignment horizontal="center"/>
    </xf>
    <xf numFmtId="0" fontId="1" fillId="5" borderId="20" xfId="0" applyFont="1" applyFill="1" applyBorder="1"/>
    <xf numFmtId="0" fontId="1" fillId="5" borderId="22" xfId="0" applyFont="1" applyFill="1" applyBorder="1"/>
    <xf numFmtId="0" fontId="1" fillId="5" borderId="23" xfId="0" applyFont="1" applyFill="1" applyBorder="1"/>
    <xf numFmtId="0" fontId="3" fillId="4" borderId="28" xfId="0" applyFont="1" applyFill="1" applyBorder="1"/>
    <xf numFmtId="164" fontId="3" fillId="4" borderId="28" xfId="0" applyNumberFormat="1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3" xfId="0" applyFont="1" applyFill="1" applyBorder="1"/>
    <xf numFmtId="0" fontId="1" fillId="5" borderId="12" xfId="0" applyFont="1" applyFill="1" applyBorder="1"/>
    <xf numFmtId="0" fontId="1" fillId="6" borderId="0" xfId="0" applyFont="1" applyFill="1"/>
    <xf numFmtId="0" fontId="3" fillId="6" borderId="0" xfId="0" applyFont="1" applyFill="1"/>
    <xf numFmtId="164" fontId="3" fillId="6" borderId="0" xfId="0" applyNumberFormat="1" applyFont="1" applyFill="1" applyAlignment="1">
      <alignment horizontal="center"/>
    </xf>
    <xf numFmtId="0" fontId="3" fillId="6" borderId="28" xfId="0" applyFont="1" applyFill="1" applyBorder="1"/>
    <xf numFmtId="164" fontId="3" fillId="6" borderId="28" xfId="0" applyNumberFormat="1" applyFont="1" applyFill="1" applyBorder="1" applyAlignment="1">
      <alignment horizontal="center"/>
    </xf>
    <xf numFmtId="0" fontId="2" fillId="0" borderId="29" xfId="0" applyFont="1" applyBorder="1"/>
    <xf numFmtId="0" fontId="0" fillId="0" borderId="7" xfId="0" applyBorder="1"/>
    <xf numFmtId="0" fontId="2" fillId="0" borderId="7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selection activeCell="Q6" sqref="Q6"/>
    </sheetView>
  </sheetViews>
  <sheetFormatPr baseColWidth="10" defaultColWidth="12.6640625" defaultRowHeight="15.75" customHeight="1" x14ac:dyDescent="0.25"/>
  <cols>
    <col min="3" max="3" width="37.44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3"/>
      <c r="B3" s="4"/>
      <c r="C3" s="5"/>
      <c r="D3" s="6"/>
      <c r="E3" s="54" t="s">
        <v>0</v>
      </c>
      <c r="F3" s="55"/>
      <c r="G3" s="54" t="s">
        <v>1</v>
      </c>
      <c r="H3" s="55"/>
      <c r="I3" s="54" t="s">
        <v>2</v>
      </c>
      <c r="J3" s="55"/>
      <c r="K3" s="54" t="s">
        <v>3</v>
      </c>
      <c r="L3" s="55"/>
      <c r="M3" s="54" t="s">
        <v>4</v>
      </c>
      <c r="N3" s="55"/>
      <c r="O3" s="56" t="s">
        <v>5</v>
      </c>
      <c r="P3" s="55"/>
      <c r="Q3" s="7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3"/>
      <c r="B4" s="8"/>
      <c r="C4" s="3"/>
      <c r="D4" s="9" t="s">
        <v>6</v>
      </c>
      <c r="E4" s="10" t="s">
        <v>7</v>
      </c>
      <c r="F4" s="11" t="s">
        <v>8</v>
      </c>
      <c r="G4" s="10" t="s">
        <v>9</v>
      </c>
      <c r="H4" s="11" t="s">
        <v>10</v>
      </c>
      <c r="I4" s="10" t="s">
        <v>9</v>
      </c>
      <c r="J4" s="11" t="s">
        <v>11</v>
      </c>
      <c r="K4" s="10" t="s">
        <v>9</v>
      </c>
      <c r="L4" s="11" t="s">
        <v>11</v>
      </c>
      <c r="M4" s="10" t="s">
        <v>7</v>
      </c>
      <c r="N4" s="11" t="s">
        <v>10</v>
      </c>
      <c r="O4" s="12"/>
      <c r="P4" s="11"/>
      <c r="Q4" s="7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3"/>
      <c r="B5" s="8" t="s">
        <v>12</v>
      </c>
      <c r="C5" s="3" t="s">
        <v>13</v>
      </c>
      <c r="D5" s="13"/>
      <c r="E5" s="14"/>
      <c r="F5" s="15"/>
      <c r="G5" s="14"/>
      <c r="H5" s="15"/>
      <c r="I5" s="14"/>
      <c r="J5" s="15"/>
      <c r="K5" s="14"/>
      <c r="L5" s="15"/>
      <c r="M5" s="14"/>
      <c r="N5" s="15"/>
      <c r="O5" s="16"/>
      <c r="P5" s="15"/>
      <c r="Q5" s="7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3"/>
      <c r="B6" s="8" t="s">
        <v>14</v>
      </c>
      <c r="C6" s="3" t="s">
        <v>15</v>
      </c>
      <c r="D6" s="17" t="s">
        <v>16</v>
      </c>
      <c r="E6" s="8">
        <v>422</v>
      </c>
      <c r="F6" s="7">
        <v>422</v>
      </c>
      <c r="G6" s="18">
        <v>410</v>
      </c>
      <c r="H6" s="19">
        <v>412</v>
      </c>
      <c r="I6" s="8">
        <v>380</v>
      </c>
      <c r="J6" s="20">
        <v>382</v>
      </c>
      <c r="K6" s="8"/>
      <c r="L6" s="20"/>
      <c r="M6" s="8"/>
      <c r="N6" s="20"/>
      <c r="O6" s="7"/>
      <c r="P6" s="20"/>
      <c r="Q6" s="7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3"/>
      <c r="B7" s="8"/>
      <c r="C7" s="3" t="s">
        <v>17</v>
      </c>
      <c r="D7" s="17" t="s">
        <v>18</v>
      </c>
      <c r="E7" s="8">
        <v>50</v>
      </c>
      <c r="F7" s="7">
        <v>50</v>
      </c>
      <c r="G7" s="18">
        <v>50</v>
      </c>
      <c r="H7" s="19">
        <v>60</v>
      </c>
      <c r="I7" s="8">
        <v>48</v>
      </c>
      <c r="J7" s="20">
        <v>52</v>
      </c>
      <c r="K7" s="8"/>
      <c r="L7" s="20"/>
      <c r="M7" s="8"/>
      <c r="N7" s="20"/>
      <c r="O7" s="7"/>
      <c r="P7" s="20"/>
      <c r="Q7" s="7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3"/>
      <c r="B8" s="8"/>
      <c r="C8" s="3" t="s">
        <v>19</v>
      </c>
      <c r="D8" s="17" t="s">
        <v>20</v>
      </c>
      <c r="E8" s="8">
        <v>200</v>
      </c>
      <c r="F8" s="7">
        <v>200</v>
      </c>
      <c r="G8" s="18">
        <v>210</v>
      </c>
      <c r="H8" s="19">
        <v>230</v>
      </c>
      <c r="I8" s="8">
        <v>180</v>
      </c>
      <c r="J8" s="20">
        <v>160</v>
      </c>
      <c r="K8" s="8"/>
      <c r="L8" s="20"/>
      <c r="M8" s="8"/>
      <c r="N8" s="20"/>
      <c r="O8" s="7"/>
      <c r="P8" s="20"/>
      <c r="Q8" s="7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3"/>
      <c r="B9" s="21"/>
      <c r="C9" s="22" t="s">
        <v>21</v>
      </c>
      <c r="D9" s="17" t="s">
        <v>22</v>
      </c>
      <c r="E9" s="21"/>
      <c r="F9" s="23"/>
      <c r="G9" s="21"/>
      <c r="H9" s="24"/>
      <c r="I9" s="21"/>
      <c r="J9" s="24"/>
      <c r="K9" s="21"/>
      <c r="L9" s="24"/>
      <c r="M9" s="21"/>
      <c r="N9" s="24"/>
      <c r="O9" s="23"/>
      <c r="P9" s="24"/>
      <c r="Q9" s="7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3"/>
      <c r="B10" s="10"/>
      <c r="C10" s="25" t="s">
        <v>23</v>
      </c>
      <c r="D10" s="17" t="s">
        <v>24</v>
      </c>
      <c r="E10" s="10">
        <v>400</v>
      </c>
      <c r="F10" s="12">
        <v>400</v>
      </c>
      <c r="G10" s="26">
        <v>400</v>
      </c>
      <c r="H10" s="27">
        <v>380</v>
      </c>
      <c r="I10" s="10">
        <v>380</v>
      </c>
      <c r="J10" s="11"/>
      <c r="K10" s="10"/>
      <c r="L10" s="11"/>
      <c r="M10" s="10"/>
      <c r="N10" s="11"/>
      <c r="O10" s="12"/>
      <c r="P10" s="11"/>
      <c r="Q10" s="7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4"/>
      <c r="C14" s="5"/>
      <c r="D14" s="6"/>
      <c r="E14" s="54" t="s">
        <v>0</v>
      </c>
      <c r="F14" s="55"/>
      <c r="G14" s="54" t="s">
        <v>1</v>
      </c>
      <c r="H14" s="55"/>
      <c r="I14" s="54" t="s">
        <v>2</v>
      </c>
      <c r="J14" s="55"/>
      <c r="K14" s="54" t="s">
        <v>3</v>
      </c>
      <c r="L14" s="55"/>
      <c r="M14" s="54" t="s">
        <v>4</v>
      </c>
      <c r="N14" s="55"/>
      <c r="O14" s="56" t="s">
        <v>5</v>
      </c>
      <c r="P14" s="5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8"/>
      <c r="C15" s="3"/>
      <c r="D15" s="9" t="s">
        <v>6</v>
      </c>
      <c r="E15" s="10" t="s">
        <v>7</v>
      </c>
      <c r="F15" s="11" t="s">
        <v>8</v>
      </c>
      <c r="G15" s="10" t="s">
        <v>9</v>
      </c>
      <c r="H15" s="11" t="s">
        <v>10</v>
      </c>
      <c r="I15" s="10" t="s">
        <v>9</v>
      </c>
      <c r="J15" s="11" t="s">
        <v>11</v>
      </c>
      <c r="K15" s="10" t="s">
        <v>9</v>
      </c>
      <c r="L15" s="11" t="s">
        <v>11</v>
      </c>
      <c r="M15" s="10" t="s">
        <v>7</v>
      </c>
      <c r="N15" s="11" t="s">
        <v>10</v>
      </c>
      <c r="O15" s="12"/>
      <c r="P15" s="1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8" t="s">
        <v>12</v>
      </c>
      <c r="C16" s="29" t="s">
        <v>25</v>
      </c>
      <c r="D16" s="13"/>
      <c r="E16" s="30"/>
      <c r="F16" s="31"/>
      <c r="G16" s="30"/>
      <c r="H16" s="31"/>
      <c r="I16" s="30"/>
      <c r="J16" s="31"/>
      <c r="K16" s="30"/>
      <c r="L16" s="31"/>
      <c r="M16" s="30"/>
      <c r="N16" s="31"/>
      <c r="O16" s="16"/>
      <c r="P16" s="1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8" t="s">
        <v>14</v>
      </c>
      <c r="C17" s="32" t="s">
        <v>26</v>
      </c>
      <c r="D17" s="33">
        <v>46192</v>
      </c>
      <c r="E17" s="34"/>
      <c r="F17" s="35"/>
      <c r="G17" s="36"/>
      <c r="H17" s="37">
        <v>877</v>
      </c>
      <c r="I17" s="34"/>
      <c r="J17" s="38">
        <v>877</v>
      </c>
      <c r="K17" s="34"/>
      <c r="L17" s="38"/>
      <c r="M17" s="34"/>
      <c r="N17" s="38"/>
      <c r="O17" s="7"/>
      <c r="P17" s="2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8"/>
      <c r="C18" s="39" t="s">
        <v>27</v>
      </c>
      <c r="D18" s="40">
        <v>46222</v>
      </c>
      <c r="E18" s="34"/>
      <c r="F18" s="35"/>
      <c r="G18" s="36">
        <f>(458417.74+23395.11+1896.9+632.3+1896.9)/1000</f>
        <v>486.23894999999999</v>
      </c>
      <c r="H18" s="37">
        <v>496.72</v>
      </c>
      <c r="I18" s="34"/>
      <c r="J18" s="38">
        <v>571</v>
      </c>
      <c r="K18" s="34"/>
      <c r="L18" s="38"/>
      <c r="M18" s="34"/>
      <c r="N18" s="38"/>
      <c r="O18" s="7"/>
      <c r="P18" s="20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8"/>
      <c r="C19" s="39" t="s">
        <v>28</v>
      </c>
      <c r="D19" s="40">
        <v>46253</v>
      </c>
      <c r="E19" s="34"/>
      <c r="F19" s="35"/>
      <c r="G19" s="36">
        <f>(1333.19+469.43+25283.65+530.46+267.58+404970.31+12641.83+19030.81)/1000</f>
        <v>464.52726000000001</v>
      </c>
      <c r="H19" s="37">
        <v>467.2</v>
      </c>
      <c r="I19" s="34"/>
      <c r="J19" s="38">
        <v>347</v>
      </c>
      <c r="K19" s="34"/>
      <c r="L19" s="38"/>
      <c r="M19" s="34"/>
      <c r="N19" s="38"/>
      <c r="O19" s="7"/>
      <c r="P19" s="2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21"/>
      <c r="C20" s="39" t="s">
        <v>29</v>
      </c>
      <c r="D20" s="40">
        <v>46314</v>
      </c>
      <c r="E20" s="41"/>
      <c r="F20" s="42"/>
      <c r="G20" s="41"/>
      <c r="H20" s="43">
        <v>269</v>
      </c>
      <c r="I20" s="41"/>
      <c r="J20" s="43">
        <v>269</v>
      </c>
      <c r="K20" s="41"/>
      <c r="L20" s="43"/>
      <c r="M20" s="41"/>
      <c r="N20" s="43"/>
      <c r="O20" s="23"/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0"/>
      <c r="C21" s="44" t="s">
        <v>30</v>
      </c>
      <c r="D21" s="45">
        <v>46284</v>
      </c>
      <c r="E21" s="46"/>
      <c r="F21" s="47"/>
      <c r="G21" s="46"/>
      <c r="H21" s="48">
        <v>1141</v>
      </c>
      <c r="I21" s="46"/>
      <c r="J21" s="48">
        <v>1141</v>
      </c>
      <c r="K21" s="46"/>
      <c r="L21" s="48"/>
      <c r="M21" s="46"/>
      <c r="N21" s="48"/>
      <c r="O21" s="12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28"/>
      <c r="C22" s="28"/>
      <c r="D22" s="2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4"/>
      <c r="C25" s="5"/>
      <c r="D25" s="6"/>
      <c r="E25" s="54" t="s">
        <v>0</v>
      </c>
      <c r="F25" s="55"/>
      <c r="G25" s="54" t="s">
        <v>1</v>
      </c>
      <c r="H25" s="55"/>
      <c r="I25" s="54" t="s">
        <v>2</v>
      </c>
      <c r="J25" s="55"/>
      <c r="K25" s="54" t="s">
        <v>3</v>
      </c>
      <c r="L25" s="55"/>
      <c r="M25" s="54" t="s">
        <v>4</v>
      </c>
      <c r="N25" s="55"/>
      <c r="O25" s="56" t="s">
        <v>5</v>
      </c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8"/>
      <c r="C26" s="3"/>
      <c r="D26" s="9" t="s">
        <v>6</v>
      </c>
      <c r="E26" s="10" t="s">
        <v>7</v>
      </c>
      <c r="F26" s="11" t="s">
        <v>8</v>
      </c>
      <c r="G26" s="10" t="s">
        <v>9</v>
      </c>
      <c r="H26" s="11" t="s">
        <v>10</v>
      </c>
      <c r="I26" s="10" t="s">
        <v>9</v>
      </c>
      <c r="J26" s="11" t="s">
        <v>11</v>
      </c>
      <c r="K26" s="10" t="s">
        <v>9</v>
      </c>
      <c r="L26" s="11" t="s">
        <v>11</v>
      </c>
      <c r="M26" s="10" t="s">
        <v>7</v>
      </c>
      <c r="N26" s="11" t="s">
        <v>10</v>
      </c>
      <c r="O26" s="12"/>
      <c r="P26" s="1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8" t="s">
        <v>12</v>
      </c>
      <c r="C27" s="49" t="s">
        <v>31</v>
      </c>
      <c r="D27" s="13"/>
      <c r="E27" s="14"/>
      <c r="F27" s="15"/>
      <c r="G27" s="14"/>
      <c r="H27" s="15"/>
      <c r="I27" s="14"/>
      <c r="J27" s="15">
        <f>61+62+37</f>
        <v>160</v>
      </c>
      <c r="K27" s="14"/>
      <c r="L27" s="15"/>
      <c r="M27" s="14"/>
      <c r="N27" s="15"/>
      <c r="O27" s="16"/>
      <c r="P27" s="1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8" t="s">
        <v>14</v>
      </c>
      <c r="C28" s="50" t="s">
        <v>32</v>
      </c>
      <c r="D28" s="51">
        <v>46100</v>
      </c>
      <c r="E28" s="34"/>
      <c r="F28" s="35"/>
      <c r="G28" s="34"/>
      <c r="H28" s="38">
        <v>160</v>
      </c>
      <c r="I28" s="34"/>
      <c r="J28" s="38">
        <v>33</v>
      </c>
      <c r="K28" s="8"/>
      <c r="L28" s="20"/>
      <c r="M28" s="8"/>
      <c r="N28" s="20"/>
      <c r="O28" s="7"/>
      <c r="P28" s="2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8"/>
      <c r="C29" s="50" t="s">
        <v>33</v>
      </c>
      <c r="D29" s="51">
        <v>46041</v>
      </c>
      <c r="E29" s="34"/>
      <c r="F29" s="35"/>
      <c r="G29" s="34"/>
      <c r="H29" s="38">
        <v>33</v>
      </c>
      <c r="I29" s="34"/>
      <c r="J29" s="38">
        <v>33</v>
      </c>
      <c r="K29" s="8"/>
      <c r="L29" s="20"/>
      <c r="M29" s="8"/>
      <c r="N29" s="20"/>
      <c r="O29" s="7"/>
      <c r="P29" s="20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8"/>
      <c r="C30" s="50" t="s">
        <v>34</v>
      </c>
      <c r="D30" s="51">
        <v>46072</v>
      </c>
      <c r="E30" s="34"/>
      <c r="F30" s="35"/>
      <c r="G30" s="34"/>
      <c r="H30" s="38">
        <v>277.2</v>
      </c>
      <c r="I30" s="34"/>
      <c r="J30" s="38">
        <v>28</v>
      </c>
      <c r="K30" s="8"/>
      <c r="L30" s="20"/>
      <c r="M30" s="8"/>
      <c r="N30" s="20"/>
      <c r="O30" s="7"/>
      <c r="P30" s="2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21"/>
      <c r="C31" s="50" t="s">
        <v>35</v>
      </c>
      <c r="D31" s="51">
        <v>46131</v>
      </c>
      <c r="E31" s="41"/>
      <c r="F31" s="42"/>
      <c r="G31" s="41"/>
      <c r="H31" s="43">
        <v>168</v>
      </c>
      <c r="I31" s="41"/>
      <c r="J31" s="43">
        <v>166</v>
      </c>
      <c r="K31" s="21"/>
      <c r="L31" s="24"/>
      <c r="M31" s="21"/>
      <c r="N31" s="24"/>
      <c r="O31" s="23"/>
      <c r="P31" s="2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0"/>
      <c r="C32" s="52" t="s">
        <v>36</v>
      </c>
      <c r="D32" s="53">
        <v>46161</v>
      </c>
      <c r="E32" s="46"/>
      <c r="F32" s="47"/>
      <c r="G32" s="46"/>
      <c r="H32" s="48">
        <v>0</v>
      </c>
      <c r="I32" s="46"/>
      <c r="J32" s="48">
        <v>0</v>
      </c>
      <c r="K32" s="10"/>
      <c r="L32" s="11"/>
      <c r="M32" s="10"/>
      <c r="N32" s="11"/>
      <c r="O32" s="12"/>
      <c r="P32" s="1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28"/>
      <c r="D33" s="2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8">
    <mergeCell ref="K3:L3"/>
    <mergeCell ref="I3:J3"/>
    <mergeCell ref="M25:N25"/>
    <mergeCell ref="K25:L25"/>
    <mergeCell ref="O3:P3"/>
    <mergeCell ref="O25:P25"/>
    <mergeCell ref="E25:F25"/>
    <mergeCell ref="I25:J25"/>
    <mergeCell ref="G25:H25"/>
    <mergeCell ref="M14:N14"/>
    <mergeCell ref="O14:P14"/>
    <mergeCell ref="G14:H14"/>
    <mergeCell ref="E14:F14"/>
    <mergeCell ref="M3:N3"/>
    <mergeCell ref="I14:J14"/>
    <mergeCell ref="K14:L14"/>
    <mergeCell ref="G3:H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Spindler</cp:lastModifiedBy>
  <dcterms:created xsi:type="dcterms:W3CDTF">2026-04-30T12:31:05Z</dcterms:created>
  <dcterms:modified xsi:type="dcterms:W3CDTF">2026-04-30T12:36:42Z</dcterms:modified>
</cp:coreProperties>
</file>